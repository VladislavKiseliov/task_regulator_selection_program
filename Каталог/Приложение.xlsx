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труктура-2" sheetId="1" state="visible" r:id="rId1"/>
    <sheet name="Списки значений" sheetId="2" state="visible" r:id="rId2"/>
  </sheets>
  <definedNames>
    <definedName name="_xlnm._FilterDatabase" localSheetId="0" hidden="1">'Структура-2'!$A$7:$AD$532</definedName>
  </definedNames>
  <calcPr/>
</workbook>
</file>

<file path=xl/sharedStrings.xml><?xml version="1.0" encoding="utf-8"?>
<sst xmlns="http://schemas.openxmlformats.org/spreadsheetml/2006/main" count="96" uniqueCount="96">
  <si>
    <t xml:space="preserve">Шаблон формирования наименований номенклатурных позиций шкафных пунктов редуцирования газа</t>
  </si>
  <si>
    <t xml:space="preserve">Конструктор маркировки</t>
  </si>
  <si>
    <t xml:space="preserve">Номинальные диаметры запорной арматуры на входе/выходе линий редуцирования</t>
  </si>
  <si>
    <t xml:space="preserve">Тип ПРГ</t>
  </si>
  <si>
    <t xml:space="preserve">Маркировка в соответствии с СТО ГАЗПРОМ ГАЗОРАСПРЕДЕЛЕНИЕ 2.4-8-2-2024 (формируется автоматически)</t>
  </si>
  <si>
    <t xml:space="preserve">Модель РДГ</t>
  </si>
  <si>
    <t xml:space="preserve">Кол-во рабочих/ резервных линий редуцирования</t>
  </si>
  <si>
    <t xml:space="preserve">Съёмная линия</t>
  </si>
  <si>
    <t>Исполнение</t>
  </si>
  <si>
    <t>обогрев</t>
  </si>
  <si>
    <t xml:space="preserve">АСУ ТП</t>
  </si>
  <si>
    <t>Климат</t>
  </si>
  <si>
    <t>УИРГ</t>
  </si>
  <si>
    <t xml:space="preserve">Кол-во выходов</t>
  </si>
  <si>
    <t xml:space="preserve">DN вх.</t>
  </si>
  <si>
    <t xml:space="preserve">DN вых.</t>
  </si>
  <si>
    <t>СТО</t>
  </si>
  <si>
    <t xml:space="preserve">Модель регулятора давления газа (вводится вручную без пробелов и дефисов)</t>
  </si>
  <si>
    <t xml:space="preserve">Максимальное аттестованное входное давление</t>
  </si>
  <si>
    <t>Схема</t>
  </si>
  <si>
    <t xml:space="preserve">Исполнение по расположению входных и выходных газопроводов</t>
  </si>
  <si>
    <t xml:space="preserve">Тип запорной арматуры на входе и выходе линий редуцирования</t>
  </si>
  <si>
    <t xml:space="preserve">Расположение точек отбора импульсов</t>
  </si>
  <si>
    <t>Обслуживание</t>
  </si>
  <si>
    <t xml:space="preserve">Утепление и обогрев</t>
  </si>
  <si>
    <t xml:space="preserve">Наличие УИРГ</t>
  </si>
  <si>
    <t xml:space="preserve">Наличие подготовки под установку АСУ ТП</t>
  </si>
  <si>
    <t xml:space="preserve">Климатическое исполнение</t>
  </si>
  <si>
    <t xml:space="preserve">ТУ изготовителя </t>
  </si>
  <si>
    <t xml:space="preserve">Нормативный документ</t>
  </si>
  <si>
    <t xml:space="preserve">Краткое наименование</t>
  </si>
  <si>
    <t xml:space="preserve">Полное наименование
(формируется автоматически)</t>
  </si>
  <si>
    <t>НД</t>
  </si>
  <si>
    <t xml:space="preserve">Пункт редуцирования газа шкафной</t>
  </si>
  <si>
    <t>ГРПШ-</t>
  </si>
  <si>
    <t>-1</t>
  </si>
  <si>
    <t>РДНК400</t>
  </si>
  <si>
    <t xml:space="preserve">максимальное аттестованное входное давление 0,3 МПа</t>
  </si>
  <si>
    <t xml:space="preserve">с одной рабочей и одной резервной линиями редуцирования</t>
  </si>
  <si>
    <t xml:space="preserve">входной и выходной газопровод с одного торца</t>
  </si>
  <si>
    <t xml:space="preserve">запорная арматура на входе/выходе - краны шаровые фланцевые</t>
  </si>
  <si>
    <t xml:space="preserve">расположение точек отбора импульсов за пределами шкафа</t>
  </si>
  <si>
    <t xml:space="preserve">двухстороннее обслуживание</t>
  </si>
  <si>
    <t xml:space="preserve">с утеплением и газовым обогревом без УИРГ на обогрев</t>
  </si>
  <si>
    <t xml:space="preserve">без подготовки под установку УИРГ</t>
  </si>
  <si>
    <t xml:space="preserve">без подготовки под АСУ ТП</t>
  </si>
  <si>
    <t>У1</t>
  </si>
  <si>
    <t>РЛСВ.422411-020ТУ</t>
  </si>
  <si>
    <t xml:space="preserve">СТО ГАЗПРОМ ГАЗОРАСПРЕДЕЛЕНИЕ 2.4-8-2-2024</t>
  </si>
  <si>
    <t>Примечание</t>
  </si>
  <si>
    <t xml:space="preserve">Справочник должен содержать типовые модификации ГРПШ с одной линией редуцирования или с одной рабочей и одной резервной линиями редуцирования без УИРГ и АСУ ТП</t>
  </si>
  <si>
    <r>
      <rPr>
        <sz val="12"/>
        <color theme="1"/>
        <rFont val="Calibri"/>
        <scheme val="minor"/>
      </rPr>
      <t xml:space="preserve">Формирование позиций ГРПШ с двухступенчатым редуцированием, с двумя рабочими и двумя резервными линиями редуцирования (с двумя выходами), оснащённых АСУ ТП и/или УИРГ, а также предусмотренных проектной документацией до введения в действие СТО ГАЗПРОМ ГАЗОРАСПРЕДЕЛЕНИЕ 2.4-8-2-2024 (изготавливаемых в соответствии с СТО ГАЗПРОМ ГАЗОРАСПРЕДЕЛЕНИЕ 2.4-8-2-2019) будет осуществляться заказчиками самостоятельно вручную попозиционно </t>
    </r>
    <r>
      <rPr>
        <b/>
        <sz val="12"/>
        <color theme="1"/>
        <rFont val="Calibri"/>
        <scheme val="minor"/>
      </rPr>
      <t xml:space="preserve">с обязательным приложением опросных листов</t>
    </r>
  </si>
  <si>
    <t xml:space="preserve">* ряд может быть дополнен другими значениями</t>
  </si>
  <si>
    <t>Маркировка</t>
  </si>
  <si>
    <t xml:space="preserve">Максимальное входное давление</t>
  </si>
  <si>
    <t xml:space="preserve">ТУ изготовителя</t>
  </si>
  <si>
    <t xml:space="preserve">с одной рабочей линией редуцирования</t>
  </si>
  <si>
    <t xml:space="preserve">входной и выходной газопроводы снизу</t>
  </si>
  <si>
    <t xml:space="preserve">запорная арматура на входе/выходе - краны шаровые резьбовые</t>
  </si>
  <si>
    <t xml:space="preserve">расположение точек отбора импульсов внутри шкафа</t>
  </si>
  <si>
    <t xml:space="preserve">одностороннее обслуживание</t>
  </si>
  <si>
    <t xml:space="preserve">без утепления и обогрева</t>
  </si>
  <si>
    <t xml:space="preserve">ТУ 4859-038-03216769-2014</t>
  </si>
  <si>
    <t xml:space="preserve">максимальное аттестованное входное давление 0,6 МПа</t>
  </si>
  <si>
    <t xml:space="preserve">с одной рабочей и съёмной резервной линиями редуцирования</t>
  </si>
  <si>
    <t xml:space="preserve">входной газопровод снизу - выходной газопровод с торца</t>
  </si>
  <si>
    <t xml:space="preserve">в теплошумоизолированном корпусе без обогрева</t>
  </si>
  <si>
    <t>УХЛ1</t>
  </si>
  <si>
    <t xml:space="preserve">ТУ 28.99.39-015-31885400-2022</t>
  </si>
  <si>
    <t xml:space="preserve">максимальное аттестованное входное давление 1,2 МПа</t>
  </si>
  <si>
    <t xml:space="preserve">входной газопровод с торца - выходной газопровод снизу</t>
  </si>
  <si>
    <t xml:space="preserve">запорная арматура на входе/выходе - краны шаровые под приварку</t>
  </si>
  <si>
    <t xml:space="preserve">РГПБ.422411.001 ТУ</t>
  </si>
  <si>
    <t xml:space="preserve">входной газопровод с торца - выходной газопровод с противоположного торца</t>
  </si>
  <si>
    <t xml:space="preserve">в теплошумоизолированном корпусе и газовым обогревом без УИРГ на обогрев</t>
  </si>
  <si>
    <t xml:space="preserve">ТУ 4859-006-07532852-2021</t>
  </si>
  <si>
    <t xml:space="preserve">в теплошумоизолированном корпусе и газовым обогревом с  УИРГ на обогрев</t>
  </si>
  <si>
    <t xml:space="preserve">ТУ 28.99.39-007-09854844-2021</t>
  </si>
  <si>
    <t xml:space="preserve">в теплошумоизолированном корпусе и с электрическим обогревом</t>
  </si>
  <si>
    <t xml:space="preserve">ТУ 4859-024-01407241-2008</t>
  </si>
  <si>
    <t xml:space="preserve">с утеплением и электрическим обогревом</t>
  </si>
  <si>
    <t xml:space="preserve">ТУ 4859-001-51350256-2022</t>
  </si>
  <si>
    <t xml:space="preserve">с утеплением и газовым обогревом с УИРГ на обогрев</t>
  </si>
  <si>
    <t xml:space="preserve">ТУ 28.99.39.190-008-43280174-2022</t>
  </si>
  <si>
    <t xml:space="preserve">с утеплением и газовым обогревом с УИРГ на обогрев с дистанционной передачей данных</t>
  </si>
  <si>
    <t xml:space="preserve">в теплошумоизолированном корпусе и газовым обогревом с  УИРГ на обогрев с дистанционной передачей данных</t>
  </si>
  <si>
    <t xml:space="preserve">ТУ 28.99.39.190-022-52195987-18</t>
  </si>
  <si>
    <t xml:space="preserve">ТУ 28.99.39-002-31408551-2023</t>
  </si>
  <si>
    <t xml:space="preserve">ТУ 28.99.39-003-82678424-2023</t>
  </si>
  <si>
    <t xml:space="preserve">ТУ 4859-022-34893446-2015</t>
  </si>
  <si>
    <t>СЯМИ.422411-630ТУ</t>
  </si>
  <si>
    <t xml:space="preserve">ТУ 4859-001-72535528-2004</t>
  </si>
  <si>
    <t xml:space="preserve">ТУ 4859-032-36214188-2001</t>
  </si>
  <si>
    <t xml:space="preserve">ТУ 4859-022-12213528-05</t>
  </si>
  <si>
    <t xml:space="preserve">ТУ 4859-012-12213528-04</t>
  </si>
  <si>
    <t xml:space="preserve">ТУ 4859-007-29790336-2016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</si>
</sst>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sz val="10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 tint="0.39997558519241921"/>
        <bgColor theme="4" tint="0.39997558519241921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/>
    <xf fontId="1" fillId="0" borderId="0" numFmtId="0" xfId="0" applyFont="1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center" wrapText="1"/>
    </xf>
    <xf fontId="2" fillId="3" borderId="3" numFmtId="0" xfId="0" applyFont="1" applyFill="1" applyBorder="1" applyAlignment="1">
      <alignment horizontal="center" wrapText="1"/>
    </xf>
    <xf fontId="3" fillId="0" borderId="0" numFmtId="0" xfId="0" applyFont="1" applyAlignment="1">
      <alignment vertical="center"/>
    </xf>
    <xf fontId="3" fillId="4" borderId="4" numFmtId="0" xfId="0" applyFont="1" applyFill="1" applyBorder="1" applyAlignment="1">
      <alignment horizontal="center" vertical="center"/>
    </xf>
    <xf fontId="3" fillId="4" borderId="4" numFmtId="0" xfId="0" applyFont="1" applyFill="1" applyBorder="1" applyAlignment="1">
      <alignment horizontal="center" vertical="center" wrapText="1"/>
    </xf>
    <xf fontId="4" fillId="5" borderId="4" numFmtId="0" xfId="0" applyFont="1" applyFill="1" applyBorder="1" applyAlignment="1">
      <alignment horizontal="center" vertical="center" wrapText="1"/>
    </xf>
    <xf fontId="4" fillId="6" borderId="4" numFmtId="0" xfId="0" applyFont="1" applyFill="1" applyBorder="1" applyAlignment="1">
      <alignment horizontal="center" vertical="center" wrapText="1"/>
    </xf>
    <xf fontId="4" fillId="7" borderId="4" numFmtId="0" xfId="0" applyFont="1" applyFill="1" applyBorder="1" applyAlignment="1">
      <alignment horizontal="center" vertical="center" wrapText="1"/>
    </xf>
    <xf fontId="4" fillId="2" borderId="4" numFmtId="0" xfId="0" applyFont="1" applyFill="1" applyBorder="1" applyAlignment="1">
      <alignment horizontal="center" vertical="center"/>
    </xf>
    <xf fontId="4" fillId="2" borderId="4" numFmtId="0" xfId="0" applyFont="1" applyFill="1" applyBorder="1" applyAlignment="1">
      <alignment horizontal="center" vertical="center" wrapText="1"/>
    </xf>
    <xf fontId="0" fillId="0" borderId="0" numFmtId="0" xfId="0" applyAlignment="1">
      <alignment vertical="center"/>
    </xf>
    <xf fontId="0" fillId="4" borderId="4" numFmtId="0" xfId="0" applyFill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4" numFmtId="0" xfId="0" applyBorder="1" applyAlignment="1" quotePrefix="1">
      <alignment horizontal="center" vertical="center" wrapText="1"/>
    </xf>
    <xf fontId="0" fillId="6" borderId="4" numFmtId="0" xfId="0" applyFill="1" applyBorder="1" applyAlignment="1">
      <alignment horizontal="center" vertical="center" wrapText="1"/>
    </xf>
    <xf fontId="0" fillId="7" borderId="4" numFmtId="0" xfId="0" applyFill="1" applyBorder="1" applyAlignment="1">
      <alignment horizontal="center" vertical="center" wrapText="1"/>
    </xf>
    <xf fontId="0" fillId="7" borderId="4" numFmtId="0" xfId="0" applyFill="1" applyBorder="1" applyAlignment="1">
      <alignment horizontal="center" vertical="center" wrapText="1"/>
      <protection hidden="0" locked="1"/>
    </xf>
    <xf fontId="0" fillId="2" borderId="4" numFmtId="0" xfId="0" applyFill="1" applyBorder="1" applyAlignment="1">
      <alignment vertical="center" wrapText="1"/>
    </xf>
    <xf fontId="0" fillId="2" borderId="4" numFmtId="0" xfId="0" applyFill="1" applyBorder="1" applyAlignment="1">
      <alignment horizontal="center" vertical="center" wrapText="1"/>
    </xf>
    <xf fontId="0" fillId="0" borderId="0" numFmtId="0" xfId="0" applyAlignment="1">
      <alignment wrapText="1"/>
    </xf>
    <xf fontId="5" fillId="0" borderId="0" numFmtId="0" xfId="0" applyFont="1"/>
    <xf fontId="5" fillId="0" borderId="0" numFmtId="0" xfId="0" applyFont="1" applyAlignment="1">
      <alignment wrapText="1"/>
    </xf>
    <xf fontId="5" fillId="0" borderId="0" numFmtId="0" xfId="0" applyFont="1" applyAlignment="1">
      <alignment horizontal="left" vertical="center" wrapText="1"/>
    </xf>
    <xf fontId="5" fillId="0" borderId="0" numFmtId="0" xfId="0" applyFont="1" applyAlignment="1">
      <alignment vertical="center" wrapText="1"/>
    </xf>
    <xf fontId="0" fillId="0" borderId="0" numFmtId="0" xfId="0" applyAlignment="1">
      <alignment vertical="center" wrapText="1"/>
    </xf>
    <xf fontId="5" fillId="0" borderId="0" numFmtId="0" xfId="0" applyFont="1" applyAlignment="1">
      <alignment vertical="center" wrapText="1"/>
    </xf>
    <xf fontId="0" fillId="0" borderId="0" numFmtId="0" xfId="0" applyAlignment="1">
      <alignment wrapText="1"/>
      <protection hidden="0" locked="1"/>
    </xf>
    <xf fontId="0" fillId="0" borderId="0" numFmtId="0" xfId="0"/>
    <xf fontId="0" fillId="0" borderId="4" numFmtId="0" xfId="0" applyBorder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4" numFmtId="0" xfId="0" applyBorder="1" applyAlignment="1">
      <alignment wrapText="1"/>
      <protection hidden="0" locked="1"/>
    </xf>
    <xf fontId="0" fillId="0" borderId="4" numFmtId="0" xfId="0" applyBorder="1" applyAlignment="1">
      <alignment wrapText="1"/>
    </xf>
    <xf fontId="4" fillId="4" borderId="4" numFmtId="0" xfId="0" applyFont="1" applyFill="1" applyBorder="1" applyAlignment="1">
      <alignment horizontal="center" vertical="center" wrapText="1"/>
    </xf>
    <xf fontId="4" fillId="3" borderId="4" numFmtId="0" xfId="0" applyFont="1" applyFill="1" applyBorder="1" applyAlignment="1">
      <alignment horizontal="center" vertical="center" wrapText="1"/>
    </xf>
    <xf fontId="0" fillId="0" borderId="4" numFmtId="0" xfId="0" applyBorder="1" applyAlignment="1">
      <alignment vertical="center" wrapText="1"/>
    </xf>
    <xf fontId="0" fillId="0" borderId="4" numFmtId="0" xfId="0" applyBorder="1" applyAlignment="1">
      <alignment horizontal="left" wrapText="1"/>
    </xf>
    <xf fontId="0" fillId="0" borderId="4" numFmtId="0" xfId="0" applyBorder="1" applyAlignment="1">
      <alignment horizontal="center" vertical="center" wrapText="1"/>
      <protection hidden="0" locked="1"/>
    </xf>
    <xf fontId="0" fillId="0" borderId="5" numFmtId="0" xfId="0" applyBorder="1" applyAlignment="1">
      <alignment wrapText="1"/>
    </xf>
    <xf fontId="0" fillId="0" borderId="6" numFmtId="0" xfId="0" applyBorder="1" applyAlignment="1">
      <alignment wrapText="1"/>
    </xf>
    <xf fontId="0" fillId="0" borderId="7" numFmtId="0" xfId="0" applyBorder="1" applyAlignment="1">
      <alignment wrapText="1"/>
    </xf>
    <xf fontId="0" fillId="0" borderId="8" numFmtId="0" xfId="0" applyBorder="1" applyAlignment="1">
      <alignment wrapText="1"/>
    </xf>
    <xf fontId="0" fillId="0" borderId="0" numFmtId="0" xfId="0">
      <protection hidden="0" locked="1"/>
    </xf>
    <xf fontId="0" fillId="0" borderId="7" numFmtId="0" xfId="0" applyBorder="1">
      <protection hidden="0" locked="1"/>
    </xf>
    <xf fontId="0" fillId="0" borderId="4" numFmtId="0" xfId="0" applyBorder="1"/>
    <xf fontId="0" fillId="0" borderId="5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B3" activeCellId="0" sqref="B3"/>
    </sheetView>
  </sheetViews>
  <sheetFormatPr defaultRowHeight="14.25"/>
  <cols>
    <col customWidth="1" min="1" max="1" width="22.28125"/>
    <col customWidth="1" min="2" max="2" width="62.421875"/>
    <col customWidth="1" min="3" max="3" outlineLevel="1" width="10.28125"/>
    <col customWidth="1" min="4" max="4" outlineLevel="1" width="15.421875"/>
    <col customWidth="1" min="5" max="5" outlineLevel="1" width="16.421875"/>
    <col customWidth="1" min="6" max="6" outlineLevel="1" width="11.140625"/>
    <col customWidth="1" min="7" max="7" outlineLevel="1" width="14.57421875"/>
    <col customWidth="1" min="8" max="14" outlineLevel="1" width="9.57421875"/>
    <col customWidth="1" min="15" max="15" outlineLevel="1" width="16.421875"/>
    <col customWidth="1" min="16" max="16" width="22.140625"/>
    <col customWidth="1" min="17" max="17" width="22.28125"/>
    <col customWidth="1" min="18" max="18" width="27.28125"/>
    <col customWidth="1" min="19" max="19" width="23.7109375"/>
    <col customWidth="1" min="20" max="20" width="23.140625"/>
    <col customWidth="1" min="21" max="22" width="16.421875"/>
    <col customWidth="1" min="23" max="23" width="22.7109375"/>
    <col customWidth="1" min="24" max="24" width="17.57421875"/>
    <col customWidth="1" min="25" max="25" width="30.28125"/>
    <col customWidth="1" min="26" max="26" width="23.00390625"/>
    <col customWidth="1" min="27" max="30" width="22.140625"/>
    <col customWidth="1" min="31" max="31" width="43.140625"/>
    <col customWidth="1" min="32" max="32" width="66.140625"/>
    <col customWidth="1" min="33" max="33" width="58.421875"/>
  </cols>
  <sheetData>
    <row r="1" ht="18.75">
      <c r="A1" s="1" t="s">
        <v>0</v>
      </c>
    </row>
    <row r="2" ht="41.25" customHeight="1">
      <c r="C2" s="2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U2" s="5" t="s">
        <v>2</v>
      </c>
      <c r="V2" s="6"/>
      <c r="AE2" s="7"/>
      <c r="AF2" s="7"/>
      <c r="AG2" s="7"/>
    </row>
    <row r="3" ht="57">
      <c r="A3" s="8" t="s">
        <v>3</v>
      </c>
      <c r="B3" s="9" t="s">
        <v>4</v>
      </c>
      <c r="C3" s="10" t="s">
        <v>3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1" t="s">
        <v>17</v>
      </c>
      <c r="Q3" s="12" t="s">
        <v>18</v>
      </c>
      <c r="R3" s="12" t="s">
        <v>19</v>
      </c>
      <c r="S3" s="12" t="s">
        <v>20</v>
      </c>
      <c r="T3" s="12" t="s">
        <v>21</v>
      </c>
      <c r="U3" s="12" t="s">
        <v>14</v>
      </c>
      <c r="V3" s="12" t="s">
        <v>15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3" t="s">
        <v>30</v>
      </c>
      <c r="AF3" s="14" t="s">
        <v>31</v>
      </c>
      <c r="AG3" s="13" t="s">
        <v>32</v>
      </c>
    </row>
    <row r="4" ht="18.75" customHeight="1">
      <c r="A4" s="8">
        <v>1</v>
      </c>
      <c r="B4" s="9">
        <v>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>
        <v>3</v>
      </c>
      <c r="Q4" s="12">
        <v>4</v>
      </c>
      <c r="R4" s="12">
        <v>5</v>
      </c>
      <c r="S4" s="12">
        <v>6</v>
      </c>
      <c r="T4" s="12">
        <v>7</v>
      </c>
      <c r="U4" s="12">
        <v>8</v>
      </c>
      <c r="V4" s="12">
        <v>9</v>
      </c>
      <c r="W4" s="12">
        <v>10</v>
      </c>
      <c r="X4" s="12">
        <v>11</v>
      </c>
      <c r="Y4" s="12">
        <v>12</v>
      </c>
      <c r="Z4" s="12">
        <v>13</v>
      </c>
      <c r="AA4" s="12">
        <v>14</v>
      </c>
      <c r="AB4" s="12">
        <v>15</v>
      </c>
      <c r="AC4" s="12">
        <v>16</v>
      </c>
      <c r="AD4" s="12">
        <v>17</v>
      </c>
      <c r="AE4" s="14">
        <v>18</v>
      </c>
      <c r="AF4" s="14">
        <v>19</v>
      </c>
      <c r="AG4" s="14">
        <v>20</v>
      </c>
    </row>
    <row r="5" s="15" customFormat="1" ht="128.25">
      <c r="A5" s="16" t="s">
        <v>33</v>
      </c>
      <c r="B5" s="16" t="str">
        <f>CONCATENATE(C5,D5,E5,F5,G5,H5,I5,J5,K5,L5,"-","DN",M5,"/","DN",N5,O5)</f>
        <v xml:space="preserve">ГРПШ-РДНК400-1/1-0-5-ОГ-0-У1-0-1-DN50/DN65 СТО ГПГР 2.4-8-2-2024</v>
      </c>
      <c r="C5" s="17" t="s">
        <v>34</v>
      </c>
      <c r="D5" s="17" t="str">
        <f>P5</f>
        <v>РДНК400</v>
      </c>
      <c r="E5" s="17" t="str">
        <f>IF(R5="с одной рабочей и одной резервной линиями редуцирования","-1/1",IF(R5="с одной рабочей и съёмной резервной линиями редуцирования","-1/0","-1/0"))</f>
        <v>-1/1</v>
      </c>
      <c r="F5" s="17" t="str">
        <f>IF(R5="с одной рабочей и съёмной резервной линиями редуцирования","-С","-0")</f>
        <v>-0</v>
      </c>
      <c r="G5" s="17" t="str">
        <f>IF(S5="входной и выходной газопроводы снизу","-1",IF(S5="входной газопровод снизу - выходной газопровод с торца","-2",IF(S5="входной газопровод с торца - выходной газопровод снизу","-3",IF(S5="входной газопровод с торца - выходной газопровод с противоположного торца","-4",IF(S5="входной и выходной газопровод с одного торца","-5","ошибка!")))))</f>
        <v>-5</v>
      </c>
      <c r="H5" s="17" t="str">
        <f>IF(Y5="без утепления и обогрева","-0",IF(Y5="в теплошумоизолированном корпусе без обогрева","-0",IF(Y5="с утеплением и газовым обогревом без УИРГ на обогрев","-ОГ",IF(Y5="в теплошумоизолированном корпусе и газовым обогревом без УИРГ на обогрев","-ОГ",IF(Y5="в теплошумоизолированном корпусе и газовым обогревом с  УИРГ на обогрев","-ОГ",IF(Y5="в теплошумоизолированном корпусе и с электрическим обогревом","-ОЭ",IF(Y5="с утеплением и газовым обогревом с УИРГ на обогрев","-ОГ",IF(Y5="с утеплением и газовым обогревом с УИРГ на обогрев с дистанционной передачей данных","-ОГ",IF(Y5="в теплошумоизолированном корпусе и газовым обогревом с  УИРГ на обогрев с дистанционной передачей данных","-ОГ",IF(Y5="с утеплением и электрическим обогревом","-ОЭ","ошибка!"))))))))))</f>
        <v>-ОГ</v>
      </c>
      <c r="I5" s="17" t="str">
        <f>IF(AA5="без подготовки под АСУ ТП","-0",IF(AA5="с подготовкой под АСУ ТП","-Т","ошибка!"))</f>
        <v>-0</v>
      </c>
      <c r="J5" s="17" t="str">
        <f>CONCATENATE("-",AB5)</f>
        <v>-У1</v>
      </c>
      <c r="K5" s="17" t="str">
        <f>IF(Z5="без подготовки под установку УИРГ","-0",IF(Z5="с подготовкой под установку УИРГ","-СГ","ошибка!"))</f>
        <v>-0</v>
      </c>
      <c r="L5" s="18" t="s">
        <v>35</v>
      </c>
      <c r="M5" s="17">
        <f>IF(U5&gt;15,U5,"ошибка!")</f>
        <v>50</v>
      </c>
      <c r="N5" s="17">
        <f>IF(V5&gt;=U5,V5,"ошибка!")</f>
        <v>65</v>
      </c>
      <c r="O5" s="17" t="str">
        <f>IF(AD5="СТО ГАЗПРОМ ГАЗОРАСПРЕДЕЛЕНИЕ 2.4-8-2-2024"," СТО ГПГР 2.4-8-2-2024",IF(AD5="СТО ГАЗПРОМ ГАЗОРАСПРЕДЕЛЕНИЕ 2.4-8-2-2019","-СТО ГПГР 2.4-8-2-2019","ошибка!"))</f>
        <v xml:space="preserve"> СТО ГПГР 2.4-8-2-2024</v>
      </c>
      <c r="P5" s="19" t="s">
        <v>36</v>
      </c>
      <c r="Q5" s="20" t="s">
        <v>37</v>
      </c>
      <c r="R5" s="20" t="s">
        <v>38</v>
      </c>
      <c r="S5" s="20" t="s">
        <v>39</v>
      </c>
      <c r="T5" s="21" t="s">
        <v>40</v>
      </c>
      <c r="U5" s="20">
        <v>50</v>
      </c>
      <c r="V5" s="20">
        <v>65</v>
      </c>
      <c r="W5" s="20" t="s">
        <v>41</v>
      </c>
      <c r="X5" s="20" t="s">
        <v>42</v>
      </c>
      <c r="Y5" s="20" t="s">
        <v>43</v>
      </c>
      <c r="Z5" s="20" t="s">
        <v>44</v>
      </c>
      <c r="AA5" s="20" t="s">
        <v>45</v>
      </c>
      <c r="AB5" s="20" t="s">
        <v>46</v>
      </c>
      <c r="AC5" s="20" t="s">
        <v>47</v>
      </c>
      <c r="AD5" s="20" t="s">
        <v>48</v>
      </c>
      <c r="AE5" s="22" t="str">
        <f>A5</f>
        <v xml:space="preserve">Пункт редуцирования газа шкафной</v>
      </c>
      <c r="AF5" s="22" t="str">
        <f>CONCATENATE(A5," ",B5,", ",Q5,", ",R5,", ",S5,", ",T5," ","DN",U5,"/","DN",V5,", ",W5,", ",X5,", ",Y5,", ",Z5,", ",AA5,", ","климатическое исполнение ",AB5)</f>
        <v xml:space="preserve">Пункт редуцирования газа шкафной ГРПШ-РДНК400-1/1-0-5-ОГ-0-У1-0-1-DN50/DN65 СТО ГПГР 2.4-8-2-2024, максимальное аттестованное входное давление 0,3 МПа, с одной рабочей и одной резервной линиями редуцирования, входной и выходной газопровод с одного торца, запорная арматура на входе/выходе - краны шаровые фланцевые DN50/DN65, расположение точек отбора импульсов за пределами шкафа, двухстороннее обслуживание, с утеплением и газовым обогревом без УИРГ на обогрев, без подготовки под установку УИРГ, без подготовки под АСУ ТП, климатическое исполнение У1</v>
      </c>
      <c r="AG5" s="23" t="str">
        <f>CONCATENATE(AC5,", ",AD5)</f>
        <v xml:space="preserve">РЛСВ.422411-020ТУ, СТО ГАЗПРОМ ГАЗОРАСПРЕДЕЛЕНИЕ 2.4-8-2-2024</v>
      </c>
      <c r="AH5" s="15"/>
    </row>
    <row r="6" ht="14.25"/>
    <row r="7" ht="57">
      <c r="T7" s="24"/>
      <c r="V7" s="24"/>
      <c r="Z7" s="24"/>
      <c r="AA7" s="24"/>
      <c r="AB7" s="24"/>
    </row>
    <row r="8" ht="16.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/>
      <c r="V8" s="24"/>
      <c r="Z8" s="24"/>
      <c r="AA8" s="24"/>
      <c r="AB8" s="24"/>
    </row>
    <row r="9" ht="18.75">
      <c r="A9" s="1" t="s">
        <v>49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/>
      <c r="V9" s="24"/>
      <c r="Z9" s="24"/>
      <c r="AA9" s="24"/>
      <c r="AB9" s="24"/>
    </row>
    <row r="10" s="15" customFormat="1" ht="43.5" customHeight="1">
      <c r="A10" s="27" t="s">
        <v>50</v>
      </c>
      <c r="B10" s="27"/>
      <c r="C10" s="27"/>
      <c r="D10" s="27"/>
      <c r="E10" s="27"/>
      <c r="F10" s="27"/>
      <c r="G10" s="27"/>
      <c r="H10" s="27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15"/>
      <c r="V10" s="29"/>
      <c r="W10" s="15"/>
      <c r="X10" s="15"/>
      <c r="Y10" s="15"/>
      <c r="Z10" s="29"/>
      <c r="AA10" s="29"/>
      <c r="AB10" s="29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</row>
    <row r="11" s="15" customFormat="1" ht="72.75" customHeight="1">
      <c r="A11" s="27" t="s">
        <v>51</v>
      </c>
      <c r="B11" s="27"/>
      <c r="C11" s="27"/>
      <c r="D11" s="27"/>
      <c r="E11" s="27"/>
      <c r="F11" s="27"/>
      <c r="G11" s="27"/>
      <c r="H11" s="27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15"/>
      <c r="V11" s="29"/>
      <c r="W11" s="15"/>
      <c r="X11" s="15"/>
      <c r="Y11" s="15"/>
      <c r="Z11" s="29"/>
      <c r="AA11" s="29"/>
      <c r="AB11" s="29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</row>
    <row r="12" ht="57">
      <c r="T12" s="24"/>
      <c r="V12" s="24"/>
      <c r="Z12" s="24"/>
      <c r="AA12" s="24"/>
      <c r="AB12" s="24"/>
    </row>
    <row r="13" ht="57">
      <c r="T13" s="24"/>
      <c r="V13" s="24"/>
      <c r="Z13" s="24"/>
      <c r="AA13" s="24"/>
      <c r="AB13" s="24"/>
    </row>
    <row r="14" ht="57">
      <c r="T14" s="24"/>
      <c r="V14" s="24"/>
      <c r="Z14" s="24"/>
      <c r="AA14" s="24"/>
      <c r="AB14" s="24"/>
    </row>
    <row r="15" ht="57">
      <c r="T15" s="24"/>
      <c r="V15" s="24"/>
      <c r="Z15" s="24"/>
      <c r="AA15" s="24"/>
      <c r="AB15" s="24"/>
    </row>
    <row r="16" ht="57">
      <c r="T16" s="24"/>
      <c r="V16" s="24"/>
      <c r="Z16" s="24"/>
      <c r="AA16" s="24"/>
      <c r="AB16" s="24"/>
    </row>
    <row r="17" ht="57">
      <c r="T17" s="24"/>
      <c r="V17" s="31"/>
    </row>
    <row r="18" ht="57">
      <c r="T18" s="24"/>
      <c r="V18" s="31"/>
    </row>
    <row r="19" ht="57">
      <c r="T19" s="24"/>
      <c r="V19" s="24"/>
    </row>
    <row r="20" ht="57">
      <c r="T20" s="24"/>
      <c r="V20" s="24"/>
    </row>
    <row r="21" ht="57">
      <c r="T21" s="24"/>
      <c r="V21" s="24"/>
    </row>
    <row r="22" ht="57">
      <c r="T22" s="24"/>
      <c r="V22" s="24"/>
    </row>
    <row r="23" ht="57">
      <c r="T23" s="24"/>
      <c r="V23" s="24"/>
    </row>
    <row r="24" ht="57">
      <c r="T24" s="24"/>
      <c r="V24" s="24"/>
    </row>
    <row r="25" ht="57">
      <c r="T25" s="24"/>
      <c r="V25" s="24"/>
    </row>
    <row r="26" ht="57">
      <c r="T26" s="24"/>
      <c r="V26" s="24"/>
    </row>
    <row r="27" ht="57">
      <c r="T27" s="24"/>
      <c r="V27" s="24"/>
    </row>
    <row r="28" ht="57">
      <c r="T28" s="24"/>
      <c r="V28" s="24"/>
    </row>
    <row r="29" ht="57">
      <c r="T29" s="24"/>
      <c r="V29" s="24"/>
    </row>
    <row r="30" ht="57">
      <c r="T30" s="24"/>
      <c r="U30" s="24"/>
      <c r="V30" s="24"/>
    </row>
    <row r="31" ht="57">
      <c r="A31" t="s">
        <v>52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T31" s="24"/>
      <c r="U31" s="24"/>
      <c r="V31" s="24"/>
    </row>
    <row r="32" ht="57">
      <c r="T32" s="24"/>
      <c r="U32" s="24"/>
      <c r="V32" s="24"/>
    </row>
    <row r="33" ht="57">
      <c r="T33" s="24"/>
      <c r="U33" s="24"/>
      <c r="V33" s="24"/>
    </row>
    <row r="34" ht="57">
      <c r="T34" s="24"/>
      <c r="U34" s="24"/>
      <c r="V34" s="24"/>
    </row>
    <row r="35" ht="57">
      <c r="T35" s="24"/>
      <c r="U35" s="24"/>
      <c r="V35" s="24"/>
    </row>
    <row r="36" ht="57">
      <c r="T36" s="24"/>
      <c r="U36" s="24"/>
      <c r="V36" s="24"/>
    </row>
    <row r="37" ht="57">
      <c r="T37" s="24"/>
      <c r="U37" s="24"/>
      <c r="V37" s="24"/>
    </row>
    <row r="38" ht="57">
      <c r="T38" s="24"/>
      <c r="U38" s="24"/>
      <c r="V38" s="24"/>
    </row>
    <row r="39" ht="57">
      <c r="T39" s="24"/>
      <c r="U39" s="24"/>
      <c r="V39" s="24"/>
    </row>
    <row r="40" ht="57"/>
    <row r="41" ht="57"/>
    <row r="42" ht="57"/>
    <row r="43" ht="57"/>
    <row r="44" ht="57"/>
    <row r="45" ht="57"/>
    <row r="46" ht="57"/>
    <row r="47" ht="57"/>
    <row r="48" ht="57"/>
    <row r="49" ht="57"/>
    <row r="50" ht="57"/>
    <row r="51" ht="57"/>
    <row r="52" ht="57"/>
    <row r="53" ht="57"/>
    <row r="54" ht="57"/>
    <row r="55" ht="57"/>
    <row r="56" ht="57">
      <c r="T56" s="33"/>
      <c r="U56" s="34"/>
      <c r="V56" s="34"/>
    </row>
    <row r="57" ht="57">
      <c r="T57" s="35"/>
      <c r="U57" s="31"/>
      <c r="V57" s="31"/>
    </row>
    <row r="58" ht="57">
      <c r="T58" s="36"/>
      <c r="U58" s="24"/>
      <c r="V58" s="24"/>
    </row>
    <row r="59" ht="57">
      <c r="T59" s="36"/>
      <c r="U59" s="24"/>
      <c r="V59" s="24"/>
    </row>
    <row r="60" ht="57">
      <c r="T60" s="36"/>
      <c r="U60" s="24"/>
      <c r="V60" s="24"/>
    </row>
    <row r="61" ht="57">
      <c r="T61" s="36"/>
      <c r="U61" s="24"/>
      <c r="V61" s="24"/>
    </row>
    <row r="62" ht="57">
      <c r="T62" s="35"/>
      <c r="U62" s="31"/>
      <c r="V62" s="31"/>
    </row>
    <row r="63" ht="57">
      <c r="T63" s="33"/>
      <c r="U63" s="34"/>
      <c r="V63" s="34"/>
    </row>
    <row r="64" ht="57">
      <c r="T64" s="33"/>
      <c r="U64" s="34"/>
      <c r="V64" s="34"/>
    </row>
    <row r="65" ht="57">
      <c r="T65" s="33"/>
      <c r="U65" s="34"/>
      <c r="V65" s="34"/>
    </row>
    <row r="66" ht="57">
      <c r="T66" s="33"/>
      <c r="U66" s="34"/>
      <c r="V66" s="34"/>
    </row>
    <row r="67" ht="57">
      <c r="T67" s="33"/>
      <c r="U67" s="34"/>
      <c r="V67" s="34"/>
    </row>
    <row r="68" ht="57">
      <c r="T68" s="33"/>
      <c r="U68" s="34"/>
      <c r="V68" s="34"/>
    </row>
    <row r="69" ht="57">
      <c r="T69" s="36"/>
      <c r="U69" s="24"/>
      <c r="V69" s="24"/>
    </row>
    <row r="70" ht="57">
      <c r="T70" s="36"/>
      <c r="U70" s="24"/>
      <c r="V70" s="24"/>
    </row>
    <row r="71" ht="57">
      <c r="T71" s="36"/>
      <c r="U71" s="24"/>
      <c r="V71" s="24"/>
    </row>
    <row r="72" ht="57">
      <c r="T72" s="36"/>
      <c r="U72" s="24"/>
      <c r="V72" s="24"/>
    </row>
    <row r="73" ht="57">
      <c r="T73" s="36"/>
      <c r="U73" s="24"/>
      <c r="V73" s="24"/>
    </row>
    <row r="74" ht="57">
      <c r="T74" s="36"/>
      <c r="U74" s="24"/>
      <c r="V74" s="24"/>
    </row>
    <row r="75" ht="57">
      <c r="T75" s="36"/>
      <c r="U75" s="24"/>
      <c r="V75" s="24"/>
    </row>
    <row r="76" ht="57">
      <c r="T76" s="36"/>
      <c r="U76" s="24"/>
      <c r="V76" s="24"/>
    </row>
    <row r="77" ht="57">
      <c r="T77" s="36"/>
      <c r="U77" s="24"/>
      <c r="V77" s="24"/>
    </row>
    <row r="78" ht="57">
      <c r="T78" s="35"/>
      <c r="U78" s="31"/>
      <c r="V78" s="31"/>
    </row>
    <row r="79" ht="57">
      <c r="T79" s="35"/>
      <c r="U79" s="31"/>
      <c r="V79" s="31"/>
    </row>
    <row r="80" ht="57">
      <c r="T80" s="35"/>
      <c r="U80" s="31"/>
      <c r="V80" s="31"/>
    </row>
    <row r="81" ht="57">
      <c r="T81" s="35"/>
      <c r="U81" s="31"/>
      <c r="V81" s="31"/>
    </row>
    <row r="82" ht="57">
      <c r="T82" s="36"/>
      <c r="U82" s="24"/>
      <c r="V82" s="24"/>
    </row>
    <row r="83" ht="57">
      <c r="T83" s="36"/>
      <c r="U83" s="24"/>
      <c r="V83" s="24"/>
    </row>
    <row r="84" ht="57">
      <c r="T84" s="36"/>
      <c r="U84" s="24"/>
      <c r="V84" s="24"/>
    </row>
    <row r="85" ht="57">
      <c r="T85" s="36"/>
      <c r="U85" s="24"/>
      <c r="V85" s="24"/>
    </row>
    <row r="86" ht="57">
      <c r="T86" s="36"/>
      <c r="U86" s="24"/>
      <c r="V86" s="24"/>
    </row>
    <row r="87" ht="57">
      <c r="T87" s="35"/>
      <c r="U87" s="31"/>
      <c r="V87" s="31"/>
    </row>
    <row r="88" ht="57">
      <c r="T88" s="35"/>
      <c r="U88" s="31"/>
      <c r="V88" s="31"/>
    </row>
    <row r="89" ht="57"/>
    <row r="90" ht="57"/>
    <row r="91" ht="57"/>
    <row r="92" ht="57"/>
    <row r="93" ht="57"/>
    <row r="94" ht="57"/>
    <row r="95" ht="57"/>
    <row r="96" ht="57"/>
    <row r="97" ht="57"/>
    <row r="98" ht="57"/>
    <row r="99" ht="57"/>
    <row r="100" ht="57"/>
    <row r="101" ht="57"/>
    <row r="102" ht="57"/>
    <row r="103" ht="57"/>
    <row r="104" ht="57"/>
    <row r="105" ht="57"/>
    <row r="106" ht="57"/>
    <row r="107" ht="57"/>
    <row r="108" ht="57"/>
    <row r="109" ht="57"/>
    <row r="110" ht="57"/>
    <row r="111" ht="57"/>
    <row r="112" ht="57"/>
    <row r="113" ht="57"/>
    <row r="114" ht="57"/>
    <row r="115" ht="57"/>
    <row r="116" ht="57"/>
    <row r="117" ht="57"/>
    <row r="118" ht="57"/>
    <row r="119" ht="57"/>
    <row r="120" ht="57"/>
    <row r="121" ht="57"/>
    <row r="122" ht="57"/>
    <row r="123" ht="57"/>
    <row r="124" ht="57"/>
    <row r="125" ht="57"/>
    <row r="126" ht="57"/>
    <row r="127" ht="57"/>
    <row r="128" ht="57"/>
    <row r="129" ht="57"/>
    <row r="130" ht="57"/>
    <row r="131" ht="57"/>
    <row r="132" ht="57"/>
    <row r="133" ht="57"/>
    <row r="134" ht="57"/>
    <row r="135" ht="57"/>
    <row r="136" ht="57"/>
    <row r="137" ht="57"/>
    <row r="138" ht="57"/>
    <row r="139" ht="57"/>
    <row r="140" ht="57"/>
    <row r="141" ht="57"/>
    <row r="142" ht="57"/>
    <row r="143" ht="57"/>
    <row r="144" ht="57"/>
    <row r="145" ht="57"/>
    <row r="146" ht="57"/>
    <row r="147" ht="57"/>
    <row r="148" ht="57"/>
    <row r="149" ht="57"/>
    <row r="150" ht="57"/>
    <row r="151" ht="57"/>
    <row r="152" ht="57"/>
    <row r="153" ht="57"/>
    <row r="154" ht="57"/>
    <row r="155" ht="57"/>
    <row r="156" ht="57"/>
    <row r="157" ht="57"/>
    <row r="158" ht="57"/>
    <row r="159" ht="57"/>
    <row r="160" ht="57"/>
    <row r="161" ht="57"/>
    <row r="162" ht="57"/>
    <row r="163" ht="57"/>
    <row r="164" ht="57"/>
    <row r="165" ht="57"/>
    <row r="166" ht="57"/>
    <row r="167" ht="57"/>
    <row r="168" ht="57"/>
    <row r="169" ht="57"/>
    <row r="170" ht="57"/>
    <row r="171" ht="57"/>
    <row r="172" ht="57"/>
    <row r="173" ht="57"/>
    <row r="174" ht="57"/>
    <row r="175" ht="57"/>
    <row r="176" ht="57"/>
    <row r="177" ht="57"/>
    <row r="178" ht="57"/>
    <row r="179" ht="57"/>
    <row r="180" ht="57"/>
    <row r="181" ht="57"/>
    <row r="182" ht="57"/>
    <row r="183" ht="57"/>
    <row r="184" ht="57"/>
    <row r="185" ht="57"/>
    <row r="186" ht="57"/>
    <row r="187" ht="57"/>
    <row r="188" ht="57"/>
    <row r="189" ht="57"/>
    <row r="190" ht="57"/>
    <row r="191" ht="57"/>
    <row r="192" ht="57"/>
    <row r="193" ht="57"/>
    <row r="194" ht="57"/>
    <row r="195" ht="57"/>
    <row r="196" ht="57"/>
    <row r="197" ht="57"/>
    <row r="198" ht="57"/>
    <row r="199" ht="57"/>
    <row r="200" ht="57"/>
    <row r="201" ht="57"/>
    <row r="202" ht="57"/>
    <row r="203" ht="57"/>
    <row r="204" ht="57"/>
    <row r="205" ht="57"/>
    <row r="206" ht="57"/>
    <row r="207" ht="57"/>
    <row r="208" ht="57"/>
    <row r="209" ht="57"/>
    <row r="210" ht="57"/>
    <row r="211" ht="57"/>
    <row r="212" ht="57"/>
    <row r="213" ht="57"/>
    <row r="214" ht="42.75"/>
    <row r="215" ht="42.75"/>
    <row r="216" ht="42.75"/>
    <row r="217" ht="42.75"/>
    <row r="218" ht="42.75"/>
    <row r="219" ht="42.75"/>
    <row r="220" ht="42.75"/>
    <row r="221" ht="42.75"/>
    <row r="222" ht="42.75"/>
    <row r="223" ht="42.75"/>
    <row r="224" ht="42.75"/>
    <row r="225" ht="42.75"/>
    <row r="226" ht="42.75"/>
    <row r="227" ht="42.75"/>
    <row r="228" ht="42.75"/>
    <row r="229" ht="42.75"/>
    <row r="230" ht="42.75"/>
    <row r="231" ht="42.75"/>
    <row r="232" ht="42.75"/>
    <row r="233" ht="42.75"/>
    <row r="234" ht="42.75"/>
    <row r="235" ht="42.75"/>
    <row r="236" ht="42.75"/>
    <row r="237" ht="42.75"/>
    <row r="238" ht="42.75"/>
    <row r="239" ht="42.75"/>
    <row r="240" ht="42.75"/>
    <row r="241" ht="42.75"/>
    <row r="242" ht="42.75"/>
    <row r="243" ht="42.75"/>
    <row r="244" ht="42.75"/>
    <row r="245" ht="42.75"/>
    <row r="246" ht="42.75"/>
    <row r="247" ht="42.75"/>
    <row r="248" ht="42.75"/>
    <row r="249" ht="42.75"/>
    <row r="250" ht="42.75"/>
    <row r="251" ht="42.75"/>
    <row r="252" ht="42.75"/>
    <row r="253" ht="42.75"/>
    <row r="254" ht="42.75"/>
    <row r="255" ht="42.75"/>
    <row r="256" ht="42.75"/>
    <row r="257" ht="42.75"/>
    <row r="258" ht="42.75"/>
    <row r="259" ht="42.75"/>
    <row r="260" ht="42.75"/>
    <row r="261" ht="42.75"/>
    <row r="262" ht="42.75"/>
    <row r="263" ht="42.75"/>
    <row r="264" ht="42.75"/>
    <row r="265" ht="42.75"/>
    <row r="266" ht="42.75"/>
    <row r="267" ht="42.75"/>
    <row r="268" ht="42.75"/>
    <row r="269" ht="42.75"/>
    <row r="270" ht="42.75"/>
    <row r="271" ht="42.75"/>
    <row r="272" ht="42.75"/>
    <row r="273" ht="42.75"/>
    <row r="274" ht="42.75"/>
    <row r="275" ht="42.75"/>
    <row r="276" ht="42.75"/>
    <row r="277" ht="42.75"/>
    <row r="278" ht="42.75"/>
    <row r="279" ht="42.75"/>
    <row r="280" ht="42.75"/>
    <row r="281" ht="42.75"/>
    <row r="282" ht="42.75"/>
    <row r="283" ht="42.75"/>
    <row r="284" ht="42.75"/>
    <row r="285" ht="42.75"/>
    <row r="286" ht="42.75"/>
    <row r="287" ht="42.75"/>
    <row r="288" ht="42.75"/>
    <row r="289" ht="42.75"/>
    <row r="290" ht="42.75"/>
    <row r="291" ht="42.75"/>
    <row r="292" ht="42.75"/>
    <row r="293" ht="42.75"/>
    <row r="294" ht="42.75"/>
    <row r="295" ht="42.75"/>
    <row r="296" ht="57"/>
    <row r="297" ht="42.75"/>
    <row r="298" ht="57"/>
    <row r="299" ht="42.75"/>
    <row r="300" ht="42.75"/>
    <row r="301" ht="42.75"/>
    <row r="302" ht="42.75"/>
    <row r="303" ht="42.75"/>
    <row r="304" ht="42.75"/>
    <row r="305" ht="42.75"/>
    <row r="306" ht="42.75"/>
    <row r="307" ht="42.75"/>
    <row r="308" ht="42.75"/>
    <row r="309" ht="42.75"/>
    <row r="310" ht="42.75"/>
    <row r="311" ht="42.75"/>
    <row r="312" ht="42.75"/>
    <row r="313" ht="42.75"/>
    <row r="314" ht="42.75"/>
    <row r="315" ht="42.75"/>
    <row r="316" ht="42.75"/>
    <row r="317" ht="42.75"/>
    <row r="318" ht="42.75"/>
    <row r="319" ht="42.75"/>
    <row r="320" ht="42.75"/>
    <row r="321" ht="42.75"/>
    <row r="322" ht="42.75"/>
    <row r="323" ht="42.75"/>
    <row r="324" ht="42.75"/>
    <row r="325" ht="42.75"/>
    <row r="326" ht="42.75"/>
    <row r="327" ht="42.75"/>
    <row r="328" ht="42.75"/>
    <row r="329" ht="42.75"/>
    <row r="330" ht="42.75"/>
    <row r="331" ht="42.75"/>
    <row r="332" ht="42.75"/>
    <row r="333" ht="42.75"/>
    <row r="334" ht="42.75"/>
    <row r="335" ht="42.75"/>
    <row r="336" ht="42.75"/>
    <row r="337" ht="42.75"/>
    <row r="338" ht="42.75"/>
    <row r="339" ht="42.75"/>
    <row r="340" ht="42.75"/>
    <row r="341" ht="42.75"/>
    <row r="342" ht="42.75"/>
    <row r="343" ht="42.75"/>
    <row r="344" ht="42.75"/>
    <row r="345" ht="42.75"/>
    <row r="346" ht="42.75"/>
    <row r="347" ht="57"/>
    <row r="348" ht="57"/>
    <row r="349" ht="57"/>
    <row r="350" ht="57"/>
    <row r="351" ht="57"/>
    <row r="352" ht="57"/>
    <row r="353" ht="57"/>
    <row r="354" ht="57"/>
    <row r="355" ht="57"/>
    <row r="356" ht="57"/>
    <row r="357" ht="57"/>
    <row r="358" ht="57"/>
    <row r="359" ht="57"/>
    <row r="360" ht="57"/>
    <row r="361" ht="57"/>
    <row r="362" ht="57"/>
    <row r="363" ht="57"/>
    <row r="364" ht="57"/>
    <row r="365" ht="57"/>
    <row r="366" ht="57"/>
    <row r="367" ht="57"/>
    <row r="368" ht="57"/>
    <row r="369" ht="57"/>
    <row r="370" ht="57"/>
    <row r="371" ht="57"/>
    <row r="372" ht="57"/>
    <row r="373" ht="57"/>
    <row r="374" ht="57"/>
    <row r="375" ht="57"/>
    <row r="376" ht="57"/>
    <row r="377" ht="57"/>
    <row r="378" ht="57"/>
    <row r="379" ht="57"/>
    <row r="380" ht="57"/>
    <row r="381" ht="57"/>
    <row r="382" ht="57"/>
    <row r="383" ht="57"/>
    <row r="384" ht="57"/>
    <row r="385" ht="57"/>
    <row r="386" ht="57"/>
    <row r="387" ht="57"/>
    <row r="388" ht="57"/>
    <row r="389" ht="57"/>
    <row r="390" ht="57"/>
    <row r="391" ht="57"/>
    <row r="392" ht="57"/>
    <row r="393" ht="57"/>
    <row r="394" ht="57"/>
    <row r="395" ht="57"/>
    <row r="396" ht="57"/>
    <row r="397" ht="57"/>
    <row r="398" ht="57"/>
    <row r="399" ht="57"/>
    <row r="400" ht="57"/>
    <row r="401" ht="57"/>
    <row r="402" ht="57"/>
    <row r="403" ht="57"/>
    <row r="404" ht="57"/>
    <row r="405" ht="57"/>
    <row r="406" ht="57"/>
    <row r="407" ht="57"/>
    <row r="408" ht="57"/>
    <row r="409" ht="57"/>
    <row r="410" ht="57"/>
    <row r="411" ht="57"/>
    <row r="412" ht="57"/>
    <row r="413" ht="57"/>
    <row r="414" ht="57"/>
    <row r="415" ht="57"/>
    <row r="416" ht="57"/>
    <row r="417" ht="57"/>
    <row r="418" ht="57"/>
    <row r="419" ht="57"/>
    <row r="420" ht="57"/>
    <row r="421" ht="57"/>
    <row r="422" ht="57"/>
    <row r="423" ht="57"/>
    <row r="424" ht="57"/>
    <row r="425" ht="57"/>
    <row r="426" ht="57"/>
    <row r="427" ht="57"/>
    <row r="428" ht="57"/>
    <row r="429" ht="57"/>
    <row r="430" ht="57"/>
    <row r="431" ht="57"/>
    <row r="432" ht="57"/>
    <row r="433" ht="57"/>
    <row r="434" ht="57"/>
    <row r="435" ht="57"/>
    <row r="436" ht="57"/>
    <row r="437" ht="57"/>
    <row r="438" ht="57"/>
    <row r="439" ht="57"/>
    <row r="440" ht="57"/>
    <row r="441" ht="57"/>
    <row r="442" ht="57"/>
    <row r="443" ht="57"/>
    <row r="444" ht="57"/>
    <row r="445" ht="57"/>
    <row r="446" ht="57"/>
    <row r="447" ht="57"/>
    <row r="448" ht="57"/>
    <row r="449" ht="57"/>
    <row r="450" ht="57"/>
    <row r="451" ht="57"/>
    <row r="452" ht="57"/>
    <row r="453" ht="57"/>
    <row r="454" ht="57"/>
    <row r="455" ht="57"/>
    <row r="456" ht="57"/>
    <row r="457" ht="57"/>
    <row r="458" ht="57"/>
    <row r="459" ht="57"/>
    <row r="460" ht="57"/>
    <row r="461" ht="57"/>
    <row r="462" ht="57"/>
    <row r="463" ht="57"/>
    <row r="464" ht="57"/>
    <row r="465" ht="57"/>
    <row r="466" ht="57"/>
    <row r="467" ht="57"/>
    <row r="468" ht="57"/>
    <row r="469" ht="57"/>
    <row r="470" ht="57"/>
    <row r="471" ht="57"/>
    <row r="472" ht="57"/>
    <row r="473" ht="57"/>
    <row r="474" ht="57"/>
    <row r="475" ht="57"/>
    <row r="476" ht="57"/>
    <row r="477" ht="57"/>
    <row r="478" ht="57"/>
    <row r="479" ht="57"/>
    <row r="480" ht="57"/>
    <row r="481" ht="57"/>
    <row r="482" ht="57"/>
    <row r="483" ht="57"/>
    <row r="484" ht="57"/>
    <row r="485" ht="57"/>
    <row r="486" ht="57"/>
    <row r="487" ht="57"/>
    <row r="488" ht="57"/>
    <row r="489" ht="57"/>
    <row r="490" ht="57"/>
    <row r="491" ht="57"/>
    <row r="492" ht="57"/>
    <row r="493" ht="57"/>
    <row r="494" ht="57"/>
    <row r="495" ht="57"/>
    <row r="496" ht="57"/>
    <row r="497" ht="57"/>
    <row r="498" ht="57"/>
    <row r="499" ht="57"/>
    <row r="500" ht="57"/>
    <row r="501" ht="57"/>
    <row r="502" ht="57"/>
    <row r="503" ht="57"/>
    <row r="504" ht="57"/>
    <row r="505" ht="57"/>
    <row r="506" ht="57"/>
    <row r="507" ht="57"/>
    <row r="508" ht="57"/>
    <row r="509" ht="57"/>
    <row r="510" ht="57"/>
    <row r="511" ht="57"/>
    <row r="512" ht="57"/>
    <row r="513" ht="57"/>
    <row r="514" ht="57"/>
    <row r="515" ht="57"/>
    <row r="516" ht="57"/>
    <row r="517" ht="57"/>
    <row r="518" ht="57"/>
    <row r="519" ht="57"/>
    <row r="520" ht="57"/>
    <row r="521" ht="42.75"/>
    <row r="522" ht="42.75"/>
    <row r="523" ht="42.75"/>
    <row r="524" ht="42.75"/>
    <row r="525" ht="42.75"/>
    <row r="526" ht="42.75"/>
    <row r="527" ht="42.75"/>
    <row r="528" ht="42.75"/>
    <row r="529" ht="42.75"/>
    <row r="530" ht="42.75"/>
    <row r="531" ht="42.75"/>
    <row r="532" ht="42.7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</sheetData>
  <mergeCells count="4">
    <mergeCell ref="C2:O2"/>
    <mergeCell ref="U2:V2"/>
    <mergeCell ref="A10:H10"/>
    <mergeCell ref="A11:H11"/>
  </mergeCells>
  <dataValidations count="13" disablePrompts="0">
    <dataValidation sqref="Q5" type="list" allowBlank="1" errorStyle="stop" imeMode="noControl" operator="between" prompt="Выбрать из списка" promptTitle="" showDropDown="0" showErrorMessage="1" showInputMessage="1">
      <formula1>'Списки значений'!$C$2:$C$4</formula1>
    </dataValidation>
    <dataValidation sqref="R5" type="list" allowBlank="1" errorStyle="stop" imeMode="noControl" operator="between" prompt="Выбрать из списка" promptTitle="" showDropDown="0" showErrorMessage="1" showInputMessage="1">
      <formula1>'Списки значений'!$D$2:$D$4</formula1>
    </dataValidation>
    <dataValidation sqref="S5" type="list" allowBlank="1" errorStyle="stop" imeMode="noControl" operator="between" prompt="Выбрать из списка" promptTitle="" showDropDown="0" showErrorMessage="1" showInputMessage="1">
      <formula1>'Списки значений'!$E$2:$E$6</formula1>
    </dataValidation>
    <dataValidation sqref="T5" type="list" allowBlank="1" errorStyle="stop" imeMode="noControl" operator="between" prompt="Выбрать из списка" promptTitle="" showDropDown="0" showErrorMessage="1" showInputMessage="1">
      <formula1>'Списки значений'!$F$2:$F$4</formula1>
    </dataValidation>
    <dataValidation sqref="U5" type="list" allowBlank="1" errorStyle="stop" imeMode="noControl" operator="between" prompt="Выбрать из списка" promptTitle="" showDropDown="0" showErrorMessage="1" showInputMessage="1">
      <formula1>'Списки значений'!$G$2:$G$12</formula1>
    </dataValidation>
    <dataValidation sqref="V5" type="list" allowBlank="0" errorStyle="stop" imeMode="noControl" operator="between" prompt="Выбрать из списка" promptTitle="" showDropDown="0" showErrorMessage="1" showInputMessage="1">
      <formula1>'Списки значений'!$H$2:$H$13</formula1>
    </dataValidation>
    <dataValidation sqref="W5" type="list" allowBlank="0" errorStyle="stop" imeMode="noControl" operator="between" prompt="Выбрать из списка" promptTitle="" showDropDown="0" showErrorMessage="1" showInputMessage="1">
      <formula1>'Списки значений'!$I$2:$I$3</formula1>
    </dataValidation>
    <dataValidation sqref="X5" type="list" allowBlank="0" errorStyle="stop" imeMode="noControl" operator="between" prompt="Выбрать из списка" promptTitle="" showDropDown="0" showErrorMessage="1" showInputMessage="1">
      <formula1>'Списки значений'!$J$2:$J$4</formula1>
    </dataValidation>
    <dataValidation sqref="Y5" type="list" allowBlank="0" errorStyle="stop" imeMode="noControl" operator="between" prompt="Выбрать из списка" promptTitle="" showDropDown="0" showErrorMessage="1" showInputMessage="1">
      <formula1>'Списки значений'!$K$2:$K$11</formula1>
    </dataValidation>
    <dataValidation sqref="Z5" type="list" allowBlank="0" errorStyle="stop" imeMode="noControl" operator="between" prompt="Выбрать из списка" promptTitle="" showDropDown="0" showErrorMessage="1" showInputMessage="1">
      <formula1>'Списки значений'!$L$2:$L$3</formula1>
    </dataValidation>
    <dataValidation sqref="AA5" type="list" allowBlank="0" errorStyle="stop" imeMode="noControl" operator="between" prompt="Выбрать из списка" promptTitle="" showDropDown="0" showErrorMessage="1" showInputMessage="1">
      <formula1>'Списки значений'!$M$2:$M$3</formula1>
    </dataValidation>
    <dataValidation sqref="AB5" type="list" allowBlank="0" errorStyle="stop" imeMode="noControl" operator="between" prompt="Выбрать из списка" promptTitle="" showDropDown="0" showErrorMessage="1" showInputMessage="1">
      <formula1>'Списки значений'!$N$2:$N$3</formula1>
    </dataValidation>
    <dataValidation sqref="AC5" type="list" allowBlank="0" errorStyle="stop" imeMode="noControl" operator="between" prompt="Выбрать из списка" promptTitle="" showDropDown="0" showErrorMessage="1" showInputMessage="1">
      <formula1>'Списки значений'!$O$2:$O$20</formula1>
    </dataValidation>
  </dataValidations>
  <printOptions headings="0" gridLines="0"/>
  <pageMargins left="0.38582677165354329" right="0.38582677165354329" top="0.75196850393700776" bottom="0.75196850393700776" header="0.29999999999999999" footer="0.29999999999999999"/>
  <pageSetup paperSize="8" scale="52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500FB-008C-4A67-A326-00FE0038000D}" type="list" allowBlank="0" errorStyle="stop" imeMode="noControl" operator="between" prompt="Выбрать из списка" promptTitle="" showDropDown="0" showErrorMessage="1" showInputMessage="1">
          <x14:formula1>
            <xm:f>#REF!</xm:f>
          </x14:formula1>
          <xm:sqref>AD5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8515625"/>
    <col customWidth="1" min="2" max="2" width="47.57421875"/>
    <col customWidth="1" min="3" max="14" width="21.7109375"/>
    <col customWidth="1" min="15" max="15" width="30.140625"/>
    <col customWidth="1" min="16" max="16" width="21.7109375"/>
  </cols>
  <sheetData>
    <row r="1" ht="57">
      <c r="A1" s="37" t="s">
        <v>3</v>
      </c>
      <c r="B1" s="37" t="s">
        <v>53</v>
      </c>
      <c r="C1" s="37" t="s">
        <v>54</v>
      </c>
      <c r="D1" s="37" t="s">
        <v>19</v>
      </c>
      <c r="E1" s="37" t="s">
        <v>20</v>
      </c>
      <c r="F1" s="37" t="s">
        <v>21</v>
      </c>
      <c r="G1" s="38" t="s">
        <v>14</v>
      </c>
      <c r="H1" s="38" t="s">
        <v>15</v>
      </c>
      <c r="I1" s="37" t="s">
        <v>22</v>
      </c>
      <c r="J1" s="37" t="s">
        <v>23</v>
      </c>
      <c r="K1" s="37" t="s">
        <v>24</v>
      </c>
      <c r="L1" s="37" t="s">
        <v>25</v>
      </c>
      <c r="M1" s="37" t="s">
        <v>26</v>
      </c>
      <c r="N1" s="37" t="s">
        <v>27</v>
      </c>
      <c r="O1" s="37" t="s">
        <v>55</v>
      </c>
      <c r="P1" s="37" t="s">
        <v>29</v>
      </c>
    </row>
    <row r="2" ht="42.75">
      <c r="A2" s="36"/>
      <c r="B2" s="39"/>
      <c r="C2" s="36" t="s">
        <v>37</v>
      </c>
      <c r="D2" s="36" t="s">
        <v>56</v>
      </c>
      <c r="E2" s="33" t="s">
        <v>57</v>
      </c>
      <c r="F2" s="33" t="s">
        <v>58</v>
      </c>
      <c r="G2" s="17">
        <v>20</v>
      </c>
      <c r="H2" s="17">
        <v>20</v>
      </c>
      <c r="I2" s="36" t="s">
        <v>59</v>
      </c>
      <c r="J2" s="36" t="s">
        <v>60</v>
      </c>
      <c r="K2" s="36" t="s">
        <v>61</v>
      </c>
      <c r="L2" s="36" t="s">
        <v>44</v>
      </c>
      <c r="M2" s="40" t="s">
        <v>45</v>
      </c>
      <c r="N2" s="40" t="s">
        <v>46</v>
      </c>
      <c r="O2" s="36" t="s">
        <v>62</v>
      </c>
      <c r="P2" s="40" t="s">
        <v>48</v>
      </c>
    </row>
    <row r="3" ht="57">
      <c r="C3" s="36" t="s">
        <v>63</v>
      </c>
      <c r="D3" s="36" t="s">
        <v>64</v>
      </c>
      <c r="E3" s="33" t="s">
        <v>65</v>
      </c>
      <c r="F3" s="35" t="s">
        <v>40</v>
      </c>
      <c r="G3" s="41">
        <v>25</v>
      </c>
      <c r="H3" s="41">
        <v>25</v>
      </c>
      <c r="I3" s="36" t="s">
        <v>41</v>
      </c>
      <c r="J3" s="36" t="s">
        <v>42</v>
      </c>
      <c r="K3" s="36" t="s">
        <v>66</v>
      </c>
      <c r="L3" s="36"/>
      <c r="M3" s="36"/>
      <c r="N3" s="36" t="s">
        <v>67</v>
      </c>
      <c r="O3" s="36" t="s">
        <v>68</v>
      </c>
      <c r="P3" s="40"/>
    </row>
    <row r="4" ht="57">
      <c r="C4" s="36" t="s">
        <v>69</v>
      </c>
      <c r="D4" s="36" t="s">
        <v>38</v>
      </c>
      <c r="E4" s="33" t="s">
        <v>70</v>
      </c>
      <c r="F4" s="36" t="s">
        <v>71</v>
      </c>
      <c r="G4" s="17">
        <v>32</v>
      </c>
      <c r="H4" s="17">
        <v>32</v>
      </c>
      <c r="I4" s="24"/>
      <c r="J4" s="36"/>
      <c r="K4" s="36" t="s">
        <v>43</v>
      </c>
      <c r="L4" s="36"/>
      <c r="M4" s="24"/>
      <c r="N4" s="24"/>
      <c r="O4" s="36" t="s">
        <v>72</v>
      </c>
      <c r="P4" s="24"/>
    </row>
    <row r="5" ht="71.25">
      <c r="C5" s="24"/>
      <c r="D5" s="42"/>
      <c r="E5" s="33" t="s">
        <v>73</v>
      </c>
      <c r="F5" s="43"/>
      <c r="G5" s="17">
        <v>40</v>
      </c>
      <c r="H5" s="17">
        <v>40</v>
      </c>
      <c r="I5" s="24"/>
      <c r="J5" s="44"/>
      <c r="K5" s="36" t="s">
        <v>74</v>
      </c>
      <c r="L5" s="24"/>
      <c r="M5" s="24"/>
      <c r="N5" s="24"/>
      <c r="O5" s="36" t="s">
        <v>75</v>
      </c>
      <c r="P5" s="24"/>
    </row>
    <row r="6" ht="71.25">
      <c r="C6" s="24"/>
      <c r="D6" s="44"/>
      <c r="E6" s="33" t="s">
        <v>39</v>
      </c>
      <c r="F6" s="45"/>
      <c r="G6" s="17">
        <v>50</v>
      </c>
      <c r="H6" s="17">
        <v>50</v>
      </c>
      <c r="I6" s="24"/>
      <c r="J6" s="44"/>
      <c r="K6" s="36" t="s">
        <v>76</v>
      </c>
      <c r="L6" s="24"/>
      <c r="M6" s="24"/>
      <c r="N6" s="24"/>
      <c r="O6" s="36" t="s">
        <v>77</v>
      </c>
      <c r="P6" s="24"/>
    </row>
    <row r="7" ht="71.25">
      <c r="C7" s="24"/>
      <c r="D7" s="24"/>
      <c r="E7" s="46"/>
      <c r="F7" s="44"/>
      <c r="G7" s="17">
        <v>65</v>
      </c>
      <c r="H7" s="17">
        <v>65</v>
      </c>
      <c r="I7" s="24"/>
      <c r="J7" s="44"/>
      <c r="K7" s="36" t="s">
        <v>78</v>
      </c>
      <c r="L7" s="24"/>
      <c r="M7" s="24"/>
      <c r="N7" s="24"/>
      <c r="O7" s="36" t="s">
        <v>79</v>
      </c>
      <c r="P7" s="24"/>
    </row>
    <row r="8" ht="42.75">
      <c r="C8" s="24"/>
      <c r="D8" s="24"/>
      <c r="E8" s="46"/>
      <c r="F8" s="44"/>
      <c r="G8" s="17">
        <v>80</v>
      </c>
      <c r="H8" s="17">
        <v>80</v>
      </c>
      <c r="I8" s="24"/>
      <c r="J8" s="44"/>
      <c r="K8" s="36" t="s">
        <v>80</v>
      </c>
      <c r="L8" s="24"/>
      <c r="M8" s="24"/>
      <c r="N8" s="24"/>
      <c r="O8" s="36" t="s">
        <v>81</v>
      </c>
      <c r="P8" s="24"/>
    </row>
    <row r="9" ht="42.75">
      <c r="C9" s="24"/>
      <c r="D9" s="24"/>
      <c r="E9" s="46"/>
      <c r="F9" s="44"/>
      <c r="G9" s="17">
        <v>100</v>
      </c>
      <c r="H9" s="17">
        <v>100</v>
      </c>
      <c r="I9" s="24"/>
      <c r="J9" s="44"/>
      <c r="K9" s="36" t="s">
        <v>82</v>
      </c>
      <c r="L9" s="24"/>
      <c r="M9" s="24"/>
      <c r="N9" s="24"/>
      <c r="O9" s="36" t="s">
        <v>83</v>
      </c>
      <c r="P9" s="24"/>
    </row>
    <row r="10" ht="71.25">
      <c r="C10" s="24"/>
      <c r="D10" s="24"/>
      <c r="E10" s="46"/>
      <c r="F10" s="44"/>
      <c r="G10" s="17">
        <v>125</v>
      </c>
      <c r="H10" s="17">
        <v>125</v>
      </c>
      <c r="I10" s="24"/>
      <c r="J10" s="44"/>
      <c r="K10" s="36" t="s">
        <v>84</v>
      </c>
      <c r="L10" s="24"/>
      <c r="M10" s="24"/>
      <c r="N10" s="24"/>
      <c r="O10" s="36" t="s">
        <v>47</v>
      </c>
      <c r="P10" s="24"/>
    </row>
    <row r="11" ht="99.75">
      <c r="C11" s="46"/>
      <c r="D11" s="46"/>
      <c r="E11" s="46"/>
      <c r="F11" s="44"/>
      <c r="G11" s="17">
        <v>150</v>
      </c>
      <c r="H11" s="17">
        <v>150</v>
      </c>
      <c r="I11" s="46"/>
      <c r="J11" s="47"/>
      <c r="K11" s="36" t="s">
        <v>85</v>
      </c>
      <c r="L11" s="24"/>
      <c r="M11" s="24"/>
      <c r="N11" s="24"/>
      <c r="O11" s="48" t="s">
        <v>86</v>
      </c>
      <c r="P11" s="46"/>
    </row>
    <row r="12">
      <c r="C12" s="46"/>
      <c r="D12" s="46"/>
      <c r="E12" s="46"/>
      <c r="F12" s="44"/>
      <c r="G12" s="17">
        <v>200</v>
      </c>
      <c r="H12" s="17">
        <v>200</v>
      </c>
      <c r="I12" s="46"/>
      <c r="J12" s="46"/>
      <c r="K12" s="46"/>
      <c r="L12" s="24"/>
      <c r="M12" s="24"/>
      <c r="N12" s="24"/>
      <c r="O12" s="48" t="s">
        <v>87</v>
      </c>
      <c r="P12" s="46"/>
    </row>
    <row r="13">
      <c r="C13" s="46"/>
      <c r="D13" s="46"/>
      <c r="E13" s="46"/>
      <c r="F13" s="24"/>
      <c r="G13" s="49"/>
      <c r="H13" s="17">
        <v>250</v>
      </c>
      <c r="I13" s="46"/>
      <c r="J13" s="46"/>
      <c r="K13" s="46"/>
      <c r="L13" s="24"/>
      <c r="M13" s="24"/>
      <c r="N13" s="24"/>
      <c r="O13" s="48" t="s">
        <v>88</v>
      </c>
      <c r="P13" s="46"/>
    </row>
    <row r="14">
      <c r="C14" s="46"/>
      <c r="D14" s="46"/>
      <c r="E14" s="46"/>
      <c r="F14" s="24"/>
      <c r="G14" s="46"/>
      <c r="H14" s="24"/>
      <c r="I14" s="46"/>
      <c r="J14" s="46"/>
      <c r="K14" s="46"/>
      <c r="L14" s="24"/>
      <c r="M14" s="24"/>
      <c r="N14" s="24"/>
      <c r="O14" s="48" t="s">
        <v>89</v>
      </c>
      <c r="P14" s="46"/>
    </row>
    <row r="15">
      <c r="C15" s="46"/>
      <c r="D15" s="46"/>
      <c r="E15" s="46"/>
      <c r="F15" s="24"/>
      <c r="G15" s="46"/>
      <c r="H15" s="24"/>
      <c r="I15" s="46"/>
      <c r="J15" s="46"/>
      <c r="K15" s="46"/>
      <c r="L15" s="24"/>
      <c r="M15" s="24"/>
      <c r="N15" s="24"/>
      <c r="O15" s="48" t="s">
        <v>90</v>
      </c>
      <c r="P15" s="46"/>
    </row>
    <row r="16">
      <c r="C16" s="46"/>
      <c r="D16" s="46"/>
      <c r="E16" s="46"/>
      <c r="F16" s="24"/>
      <c r="G16" s="46"/>
      <c r="H16" s="24"/>
      <c r="I16" s="46"/>
      <c r="J16" s="46"/>
      <c r="K16" s="46"/>
      <c r="L16" s="24"/>
      <c r="M16" s="24"/>
      <c r="N16" s="24"/>
      <c r="O16" s="48" t="s">
        <v>91</v>
      </c>
      <c r="P16" s="46"/>
    </row>
    <row r="17">
      <c r="C17" s="46"/>
      <c r="D17" s="46"/>
      <c r="E17" s="46"/>
      <c r="F17" s="24"/>
      <c r="G17" s="46"/>
      <c r="H17" s="24"/>
      <c r="I17" s="46"/>
      <c r="J17" s="46"/>
      <c r="K17" s="46"/>
      <c r="L17" s="24"/>
      <c r="M17" s="24"/>
      <c r="N17" s="24"/>
      <c r="O17" s="48" t="s">
        <v>92</v>
      </c>
      <c r="P17" s="46"/>
    </row>
    <row r="18">
      <c r="C18" s="46"/>
      <c r="D18" s="46"/>
      <c r="E18" s="46"/>
      <c r="F18" s="24"/>
      <c r="G18" s="46"/>
      <c r="H18" s="24"/>
      <c r="I18" s="46"/>
      <c r="J18" s="46"/>
      <c r="K18" s="46"/>
      <c r="L18" s="24"/>
      <c r="M18" s="24"/>
      <c r="N18" s="24"/>
      <c r="O18" s="48" t="s">
        <v>93</v>
      </c>
      <c r="P18" s="46"/>
    </row>
    <row r="19">
      <c r="C19" s="46"/>
      <c r="D19" s="46"/>
      <c r="E19" s="46"/>
      <c r="F19" s="24"/>
      <c r="G19" s="46"/>
      <c r="H19" s="24"/>
      <c r="I19" s="46"/>
      <c r="J19" s="46"/>
      <c r="K19" s="46"/>
      <c r="L19" s="24"/>
      <c r="M19" s="24"/>
      <c r="N19" s="24"/>
      <c r="O19" s="48" t="s">
        <v>94</v>
      </c>
      <c r="P19" s="46"/>
    </row>
    <row r="20">
      <c r="C20" s="46"/>
      <c r="D20" s="46"/>
      <c r="E20" s="46"/>
      <c r="F20" s="24"/>
      <c r="G20" s="46"/>
      <c r="H20" s="31"/>
      <c r="I20" s="46"/>
      <c r="J20" s="46"/>
      <c r="K20" s="46"/>
      <c r="L20" s="24"/>
      <c r="M20" s="24"/>
      <c r="N20" s="24"/>
      <c r="O20" s="48" t="s">
        <v>95</v>
      </c>
      <c r="P20" s="46"/>
    </row>
    <row r="21">
      <c r="C21" s="46"/>
      <c r="D21" s="46"/>
      <c r="E21" s="46"/>
      <c r="F21" s="24"/>
      <c r="G21" s="46"/>
      <c r="H21" s="31"/>
      <c r="I21" s="46"/>
      <c r="J21" s="46"/>
      <c r="K21" s="46"/>
      <c r="L21" s="24"/>
      <c r="M21" s="24"/>
      <c r="N21" s="24"/>
      <c r="O21" s="46"/>
      <c r="P21" s="46"/>
    </row>
    <row r="22">
      <c r="C22" s="46"/>
      <c r="D22" s="46"/>
      <c r="E22" s="46"/>
      <c r="F22" s="24"/>
      <c r="G22" s="46"/>
      <c r="H22" s="31"/>
      <c r="I22" s="46"/>
      <c r="J22" s="46"/>
      <c r="K22" s="46"/>
      <c r="L22" s="24"/>
      <c r="M22" s="24"/>
      <c r="N22" s="24"/>
      <c r="O22" s="46"/>
      <c r="P22" s="46"/>
    </row>
    <row r="23">
      <c r="C23" s="46"/>
      <c r="D23" s="46"/>
      <c r="E23" s="46"/>
      <c r="F23" s="24"/>
      <c r="G23" s="46"/>
      <c r="H23" s="31"/>
      <c r="I23" s="46"/>
      <c r="J23" s="46"/>
      <c r="K23" s="46"/>
      <c r="L23" s="24"/>
      <c r="M23" s="24"/>
      <c r="N23" s="24"/>
      <c r="O23" s="46"/>
      <c r="P23" s="46"/>
    </row>
    <row r="24">
      <c r="C24" s="46"/>
      <c r="D24" s="46"/>
      <c r="E24" s="46"/>
      <c r="F24" s="24"/>
      <c r="G24" s="46"/>
      <c r="H24" s="24"/>
      <c r="I24" s="46"/>
      <c r="J24" s="46"/>
      <c r="K24" s="46"/>
      <c r="L24" s="24"/>
      <c r="M24" s="24"/>
      <c r="N24" s="24"/>
      <c r="O24" s="46"/>
      <c r="P24" s="46"/>
    </row>
    <row r="25">
      <c r="C25" s="46"/>
      <c r="D25" s="46"/>
      <c r="E25" s="46"/>
      <c r="F25" s="24"/>
      <c r="G25" s="46"/>
      <c r="H25" s="24"/>
      <c r="I25" s="46"/>
      <c r="J25" s="46"/>
      <c r="K25" s="46"/>
      <c r="L25" s="24"/>
      <c r="M25" s="24"/>
      <c r="N25" s="24"/>
      <c r="O25" s="46"/>
      <c r="P25" s="46"/>
    </row>
    <row r="26">
      <c r="C26" s="46"/>
      <c r="D26" s="46"/>
      <c r="E26" s="46"/>
      <c r="F26" s="24"/>
      <c r="G26" s="46"/>
      <c r="H26" s="24"/>
      <c r="I26" s="46"/>
      <c r="J26" s="46"/>
      <c r="K26" s="46"/>
      <c r="L26" s="24"/>
      <c r="M26" s="24"/>
      <c r="N26" s="24"/>
      <c r="O26" s="46"/>
      <c r="P26" s="46"/>
    </row>
    <row r="27">
      <c r="C27" s="46"/>
      <c r="D27" s="46"/>
      <c r="E27" s="46"/>
      <c r="F27" s="24"/>
      <c r="G27" s="46"/>
      <c r="H27" s="24"/>
      <c r="I27" s="46"/>
      <c r="J27" s="46"/>
      <c r="K27" s="46"/>
      <c r="L27" s="24"/>
      <c r="M27" s="24"/>
      <c r="N27" s="24"/>
      <c r="O27" s="46"/>
      <c r="P27" s="46"/>
    </row>
    <row r="28">
      <c r="C28" s="46"/>
      <c r="D28" s="46"/>
      <c r="E28" s="46"/>
      <c r="F28" s="24"/>
      <c r="G28" s="46"/>
      <c r="H28" s="24"/>
      <c r="I28" s="46"/>
      <c r="J28" s="46"/>
      <c r="K28" s="46"/>
      <c r="L28" s="24"/>
      <c r="M28" s="24"/>
      <c r="N28" s="24"/>
      <c r="O28" s="46"/>
      <c r="P28" s="46"/>
    </row>
    <row r="29">
      <c r="C29" s="46"/>
      <c r="D29" s="46"/>
      <c r="E29" s="46"/>
      <c r="F29" s="24"/>
      <c r="G29" s="46"/>
      <c r="H29" s="31"/>
      <c r="I29" s="46"/>
      <c r="J29" s="46"/>
      <c r="K29" s="46"/>
      <c r="L29" s="46"/>
      <c r="M29" s="46"/>
      <c r="N29" s="46"/>
      <c r="O29" s="46"/>
      <c r="P29" s="46"/>
    </row>
    <row r="30">
      <c r="C30" s="46"/>
      <c r="D30" s="46"/>
      <c r="E30" s="46"/>
      <c r="F30" s="24"/>
      <c r="G30" s="46"/>
      <c r="H30" s="31"/>
      <c r="I30" s="46"/>
      <c r="J30" s="46"/>
      <c r="K30" s="46"/>
      <c r="L30" s="46"/>
      <c r="M30" s="46"/>
      <c r="N30" s="46"/>
      <c r="O30" s="46"/>
      <c r="P30" s="46"/>
    </row>
    <row r="31">
      <c r="C31" s="46"/>
      <c r="D31" s="46"/>
      <c r="E31" s="46"/>
      <c r="F31" s="24"/>
      <c r="G31" s="46"/>
      <c r="H31" s="24"/>
      <c r="I31" s="46"/>
      <c r="J31" s="46"/>
      <c r="K31" s="46"/>
      <c r="L31" s="46"/>
      <c r="M31" s="46"/>
      <c r="N31" s="46"/>
      <c r="O31" s="46"/>
      <c r="P31" s="46"/>
    </row>
    <row r="32">
      <c r="C32" s="46"/>
      <c r="D32" s="46"/>
      <c r="E32" s="46"/>
      <c r="F32" s="24"/>
      <c r="G32" s="46"/>
      <c r="H32" s="24"/>
      <c r="I32" s="46"/>
      <c r="J32" s="46"/>
      <c r="K32" s="46"/>
      <c r="L32" s="46"/>
      <c r="M32" s="46"/>
      <c r="N32" s="46"/>
      <c r="O32" s="46"/>
      <c r="P32" s="46"/>
    </row>
    <row r="33">
      <c r="C33" s="46"/>
      <c r="D33" s="46"/>
      <c r="E33" s="46"/>
      <c r="F33" s="24"/>
      <c r="G33" s="46"/>
      <c r="H33" s="24"/>
      <c r="I33" s="46"/>
      <c r="J33" s="46"/>
      <c r="K33" s="46"/>
      <c r="L33" s="46"/>
      <c r="M33" s="46"/>
      <c r="N33" s="46"/>
      <c r="O33" s="46"/>
      <c r="P33" s="46"/>
    </row>
    <row r="34">
      <c r="C34" s="46"/>
      <c r="D34" s="46"/>
      <c r="E34" s="46"/>
      <c r="F34" s="24"/>
      <c r="G34" s="46"/>
      <c r="H34" s="24"/>
      <c r="I34" s="46"/>
      <c r="J34" s="46"/>
      <c r="K34" s="46"/>
      <c r="L34" s="46"/>
      <c r="M34" s="46"/>
      <c r="N34" s="46"/>
      <c r="O34" s="46"/>
      <c r="P34" s="46"/>
    </row>
    <row r="35">
      <c r="C35" s="46"/>
      <c r="D35" s="46"/>
      <c r="E35" s="46"/>
      <c r="F35" s="24"/>
      <c r="G35" s="46"/>
      <c r="H35" s="24"/>
      <c r="I35" s="46"/>
      <c r="J35" s="46"/>
      <c r="K35" s="46"/>
      <c r="L35" s="46"/>
      <c r="M35" s="46"/>
      <c r="N35" s="46"/>
      <c r="O35" s="46"/>
      <c r="P35" s="46"/>
    </row>
    <row r="36">
      <c r="C36" s="46"/>
      <c r="D36" s="46"/>
      <c r="E36" s="46"/>
      <c r="F36" s="24"/>
      <c r="G36" s="46"/>
      <c r="H36" s="24"/>
      <c r="I36" s="46"/>
      <c r="J36" s="46"/>
      <c r="K36" s="46"/>
      <c r="L36" s="46"/>
      <c r="M36" s="46"/>
      <c r="N36" s="46"/>
      <c r="O36" s="46"/>
      <c r="P36" s="46"/>
    </row>
    <row r="37">
      <c r="C37" s="46"/>
      <c r="D37" s="46"/>
      <c r="E37" s="46"/>
      <c r="F37" s="24"/>
      <c r="G37" s="46"/>
      <c r="H37" s="24"/>
      <c r="I37" s="46"/>
      <c r="J37" s="46"/>
      <c r="K37" s="46"/>
      <c r="L37" s="46"/>
      <c r="M37" s="46"/>
      <c r="N37" s="46"/>
      <c r="O37" s="46"/>
      <c r="P37" s="46"/>
    </row>
    <row r="38">
      <c r="C38" s="46"/>
      <c r="D38" s="46"/>
      <c r="E38" s="46"/>
      <c r="F38" s="24"/>
      <c r="G38" s="46"/>
      <c r="H38" s="24"/>
      <c r="I38" s="46"/>
      <c r="J38" s="46"/>
      <c r="K38" s="46"/>
      <c r="L38" s="46"/>
      <c r="M38" s="46"/>
      <c r="N38" s="46"/>
      <c r="O38" s="46"/>
      <c r="P38" s="46"/>
    </row>
    <row r="39">
      <c r="C39" s="46"/>
      <c r="D39" s="46"/>
      <c r="E39" s="46"/>
      <c r="F39" s="24"/>
      <c r="G39" s="46"/>
      <c r="H39" s="24"/>
      <c r="I39" s="46"/>
      <c r="J39" s="46"/>
      <c r="K39" s="46"/>
      <c r="L39" s="46"/>
      <c r="M39" s="46"/>
      <c r="N39" s="46"/>
      <c r="O39" s="46"/>
      <c r="P39" s="46"/>
    </row>
    <row r="40">
      <c r="C40" s="46"/>
      <c r="D40" s="46"/>
      <c r="E40" s="46"/>
      <c r="F40" s="24"/>
      <c r="G40" s="46"/>
      <c r="H40" s="24"/>
      <c r="I40" s="46"/>
      <c r="J40" s="46"/>
      <c r="K40" s="46"/>
      <c r="L40" s="46"/>
      <c r="M40" s="46"/>
      <c r="N40" s="46"/>
      <c r="O40" s="46"/>
      <c r="P40" s="46"/>
    </row>
    <row r="41">
      <c r="C41" s="46"/>
      <c r="D41" s="46"/>
      <c r="E41" s="46"/>
      <c r="F41" s="24"/>
      <c r="G41" s="46"/>
      <c r="H41" s="24"/>
      <c r="I41" s="46"/>
      <c r="J41" s="46"/>
      <c r="K41" s="46"/>
      <c r="L41" s="46"/>
      <c r="M41" s="46"/>
      <c r="N41" s="46"/>
      <c r="O41" s="46"/>
      <c r="P41" s="46"/>
    </row>
    <row r="42">
      <c r="C42" s="46"/>
      <c r="D42" s="46"/>
      <c r="E42" s="46"/>
      <c r="F42" s="24"/>
      <c r="G42" s="24"/>
      <c r="H42" s="24"/>
      <c r="I42" s="46"/>
      <c r="J42" s="46"/>
      <c r="K42" s="46"/>
      <c r="L42" s="46"/>
      <c r="M42" s="46"/>
      <c r="N42" s="46"/>
      <c r="O42" s="46"/>
      <c r="P42" s="46"/>
    </row>
    <row r="43">
      <c r="C43" s="46"/>
      <c r="D43" s="46"/>
      <c r="E43" s="46"/>
      <c r="F43" s="24"/>
      <c r="G43" s="24"/>
      <c r="H43" s="24"/>
      <c r="I43" s="46"/>
      <c r="J43" s="46"/>
      <c r="K43" s="46"/>
      <c r="L43" s="46"/>
      <c r="M43" s="46"/>
      <c r="N43" s="46"/>
      <c r="O43" s="46"/>
      <c r="P43" s="46"/>
    </row>
    <row r="44">
      <c r="C44" s="46"/>
      <c r="D44" s="46"/>
      <c r="E44" s="46"/>
      <c r="F44" s="24"/>
      <c r="G44" s="24"/>
      <c r="H44" s="24"/>
      <c r="I44" s="46"/>
      <c r="J44" s="46"/>
      <c r="K44" s="46"/>
      <c r="L44" s="46"/>
      <c r="M44" s="46"/>
      <c r="N44" s="46"/>
      <c r="O44" s="46"/>
      <c r="P44" s="46"/>
    </row>
    <row r="45">
      <c r="C45" s="46"/>
      <c r="D45" s="46"/>
      <c r="E45" s="46"/>
      <c r="F45" s="24"/>
      <c r="G45" s="24"/>
      <c r="H45" s="24"/>
      <c r="I45" s="46"/>
      <c r="J45" s="46"/>
      <c r="K45" s="46"/>
      <c r="L45" s="46"/>
      <c r="M45" s="46"/>
      <c r="N45" s="46"/>
      <c r="O45" s="46"/>
      <c r="P45" s="46"/>
    </row>
    <row r="46">
      <c r="C46" s="46"/>
      <c r="D46" s="46"/>
      <c r="E46" s="46"/>
      <c r="F46" s="24"/>
      <c r="G46" s="24"/>
      <c r="H46" s="24"/>
      <c r="I46" s="46"/>
      <c r="J46" s="46"/>
      <c r="K46" s="46"/>
      <c r="L46" s="46"/>
      <c r="M46" s="46"/>
      <c r="N46" s="46"/>
      <c r="O46" s="46"/>
      <c r="P46" s="46"/>
    </row>
    <row r="47">
      <c r="C47" s="46"/>
      <c r="D47" s="46"/>
      <c r="E47" s="46"/>
      <c r="F47" s="24"/>
      <c r="G47" s="24"/>
      <c r="H47" s="24"/>
      <c r="I47" s="46"/>
      <c r="J47" s="46"/>
      <c r="K47" s="46"/>
      <c r="L47" s="46"/>
      <c r="M47" s="46"/>
      <c r="N47" s="46"/>
      <c r="O47" s="46"/>
      <c r="P47" s="46"/>
    </row>
    <row r="48">
      <c r="C48" s="46"/>
      <c r="D48" s="46"/>
      <c r="E48" s="46"/>
      <c r="F48" s="24"/>
      <c r="G48" s="24"/>
      <c r="H48" s="24"/>
      <c r="I48" s="46"/>
      <c r="J48" s="46"/>
      <c r="K48" s="46"/>
      <c r="L48" s="46"/>
      <c r="M48" s="46"/>
      <c r="N48" s="46"/>
      <c r="O48" s="46"/>
      <c r="P48" s="46"/>
    </row>
    <row r="49">
      <c r="C49" s="46"/>
      <c r="D49" s="46"/>
      <c r="E49" s="46"/>
      <c r="F49" s="24"/>
      <c r="G49" s="24"/>
      <c r="H49" s="24"/>
      <c r="I49" s="46"/>
      <c r="J49" s="46"/>
      <c r="K49" s="46"/>
      <c r="L49" s="46"/>
      <c r="M49" s="46"/>
      <c r="N49" s="46"/>
      <c r="O49" s="46"/>
      <c r="P49" s="46"/>
    </row>
    <row r="50">
      <c r="C50" s="46"/>
      <c r="D50" s="46"/>
      <c r="E50" s="46"/>
      <c r="F50" s="24"/>
      <c r="G50" s="24"/>
      <c r="H50" s="24"/>
      <c r="I50" s="46"/>
      <c r="J50" s="46"/>
      <c r="K50" s="46"/>
      <c r="L50" s="46"/>
      <c r="M50" s="46"/>
      <c r="N50" s="46"/>
      <c r="O50" s="46"/>
      <c r="P50" s="46"/>
    </row>
    <row r="51">
      <c r="C51" s="46"/>
      <c r="D51" s="46"/>
      <c r="E51" s="46"/>
      <c r="F51" s="24"/>
      <c r="G51" s="24"/>
      <c r="H51" s="24"/>
      <c r="I51" s="46"/>
      <c r="J51" s="46"/>
      <c r="K51" s="46"/>
      <c r="L51" s="46"/>
      <c r="M51" s="46"/>
      <c r="N51" s="46"/>
      <c r="O51" s="46"/>
      <c r="P51" s="46"/>
    </row>
    <row r="52"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</row>
    <row r="55"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Р7-Офис/2024.4.1.630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u2802043</cp:lastModifiedBy>
  <cp:revision>10</cp:revision>
  <dcterms:modified xsi:type="dcterms:W3CDTF">2025-02-05T11:46:44Z</dcterms:modified>
</cp:coreProperties>
</file>